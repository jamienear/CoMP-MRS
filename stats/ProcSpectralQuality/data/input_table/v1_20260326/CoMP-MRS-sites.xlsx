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oMP-MRS\Data\data\supplementary\"/>
    </mc:Choice>
  </mc:AlternateContent>
  <xr:revisionPtr revIDLastSave="0" documentId="13_ncr:1_{A4C78289-2D29-42A6-91CD-6890AE05F34E}" xr6:coauthVersionLast="47" xr6:coauthVersionMax="47" xr10:uidLastSave="{00000000-0000-0000-0000-000000000000}"/>
  <bookViews>
    <workbookView xWindow="34540" yWindow="800" windowWidth="30720" windowHeight="20090" tabRatio="770" xr2:uid="{3392512B-48FF-4EE4-B9CE-9B5048F4BF03}"/>
  </bookViews>
  <sheets>
    <sheet name="Summary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7" i="12" l="1"/>
  <c r="Q32" i="12"/>
  <c r="Q21" i="12"/>
  <c r="Q39" i="12"/>
  <c r="Q35" i="12"/>
  <c r="Q34" i="12"/>
  <c r="Q33" i="12"/>
  <c r="Q31" i="12"/>
  <c r="Q30" i="12"/>
  <c r="Q29" i="12"/>
  <c r="Q28" i="12"/>
  <c r="Q27" i="12"/>
  <c r="Q26" i="12"/>
  <c r="Q25" i="12"/>
  <c r="Q24" i="12"/>
  <c r="Q23" i="12"/>
  <c r="Q22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</calcChain>
</file>

<file path=xl/sharedStrings.xml><?xml version="1.0" encoding="utf-8"?>
<sst xmlns="http://schemas.openxmlformats.org/spreadsheetml/2006/main" count="496" uniqueCount="212">
  <si>
    <t>Fischer-344</t>
  </si>
  <si>
    <t>Bruker</t>
  </si>
  <si>
    <t>PV5.1</t>
  </si>
  <si>
    <t>PRESS</t>
  </si>
  <si>
    <t>2.5 x 3.5 x 3.5</t>
  </si>
  <si>
    <t>DP02</t>
  </si>
  <si>
    <t>Wistar</t>
  </si>
  <si>
    <t>Varian</t>
  </si>
  <si>
    <t>SPECIAL</t>
  </si>
  <si>
    <t>2.0 x 2.8 x 2.0</t>
  </si>
  <si>
    <t>DP03</t>
  </si>
  <si>
    <t>DP04</t>
  </si>
  <si>
    <t>C57BL/6J</t>
  </si>
  <si>
    <t>PV6.0.1</t>
  </si>
  <si>
    <t>2.2 x 1.2 x 2.5</t>
  </si>
  <si>
    <t>DP05</t>
  </si>
  <si>
    <t>PV7.0.0</t>
  </si>
  <si>
    <t>1.2 x 2.0 x 2.2</t>
  </si>
  <si>
    <t>DP06</t>
  </si>
  <si>
    <t>3.1 x 0.9 x 1.4</t>
  </si>
  <si>
    <t>DP07</t>
  </si>
  <si>
    <t>1.3 x 1.3 x1.4</t>
  </si>
  <si>
    <t>DP08</t>
  </si>
  <si>
    <t>3.8 x 2.5 x 1.8</t>
  </si>
  <si>
    <t>DP09</t>
  </si>
  <si>
    <t>3 x 2 x 2</t>
  </si>
  <si>
    <t>DP10</t>
  </si>
  <si>
    <t>2 x 1 x 2</t>
  </si>
  <si>
    <t>DP11</t>
  </si>
  <si>
    <t>Sprague Dawley</t>
  </si>
  <si>
    <t>3 x 2.5 x 3</t>
  </si>
  <si>
    <t>DP12</t>
  </si>
  <si>
    <t>2.2 x 1.2 x 2.2</t>
  </si>
  <si>
    <t>DP13</t>
  </si>
  <si>
    <t>2.2 x 1.2 x 2</t>
  </si>
  <si>
    <t>DP14</t>
  </si>
  <si>
    <t>STEAM</t>
  </si>
  <si>
    <t>2 x 2 x 2</t>
  </si>
  <si>
    <t>DP15</t>
  </si>
  <si>
    <t>DP16</t>
  </si>
  <si>
    <t>DP17</t>
  </si>
  <si>
    <t>1.2 x 1.0 x 1.2</t>
  </si>
  <si>
    <t>DP18</t>
  </si>
  <si>
    <t>DP19</t>
  </si>
  <si>
    <t>4 x 1.5 x 1.2</t>
  </si>
  <si>
    <t>DP20</t>
  </si>
  <si>
    <t>1.9 x 2.2 x 1.7</t>
  </si>
  <si>
    <t>DP21</t>
  </si>
  <si>
    <t>3.0 x 1.5 x 2.0</t>
  </si>
  <si>
    <t>DP22</t>
  </si>
  <si>
    <t>sSPECIAL</t>
  </si>
  <si>
    <t>2.8 x 2 x 2</t>
  </si>
  <si>
    <t>DP23</t>
  </si>
  <si>
    <t>2.5 x 2.5 x 2.5</t>
  </si>
  <si>
    <t>DP24</t>
  </si>
  <si>
    <t>B6129SF2/J</t>
  </si>
  <si>
    <t>2.0 x 1.0 x 2.0</t>
  </si>
  <si>
    <t>DP25</t>
  </si>
  <si>
    <t>DP26</t>
  </si>
  <si>
    <t>DP27</t>
  </si>
  <si>
    <t>DP28</t>
  </si>
  <si>
    <t>2.0 x 1.2 x 1.6</t>
  </si>
  <si>
    <t>DP29</t>
  </si>
  <si>
    <t>DP30</t>
  </si>
  <si>
    <t>1.6 x 1.8 x 1.8</t>
  </si>
  <si>
    <t>DP31</t>
  </si>
  <si>
    <t>2.4 x 2.0 x 2.5</t>
  </si>
  <si>
    <t>DP32</t>
  </si>
  <si>
    <t>Gunn rat Nj</t>
  </si>
  <si>
    <t>LASER</t>
  </si>
  <si>
    <t>2.4 x 1.2 x 1.8</t>
  </si>
  <si>
    <t>DP33</t>
  </si>
  <si>
    <t>DP35</t>
  </si>
  <si>
    <t>DP36</t>
  </si>
  <si>
    <t>FVB/N</t>
  </si>
  <si>
    <t>2.5 x 2.5 x 3</t>
  </si>
  <si>
    <t>NA</t>
  </si>
  <si>
    <t xml:space="preserve"> </t>
  </si>
  <si>
    <t>rat</t>
  </si>
  <si>
    <t>mouse</t>
  </si>
  <si>
    <t>DP01</t>
  </si>
  <si>
    <t>DP34</t>
  </si>
  <si>
    <t>dataset</t>
  </si>
  <si>
    <t>location</t>
  </si>
  <si>
    <t>species</t>
  </si>
  <si>
    <t>Lausanne, Switzerland</t>
  </si>
  <si>
    <t>PI</t>
  </si>
  <si>
    <t>Cudalbu Cristina</t>
  </si>
  <si>
    <t>Jamie Near</t>
  </si>
  <si>
    <t>Toronto, Canada</t>
  </si>
  <si>
    <t>Diana Cash</t>
  </si>
  <si>
    <t>London, UK</t>
  </si>
  <si>
    <t>Takado Yuhei</t>
  </si>
  <si>
    <t>Chiba, Japan</t>
  </si>
  <si>
    <t>Rosella Canease</t>
  </si>
  <si>
    <t>Rome, Italy</t>
  </si>
  <si>
    <t>Chapel Hill, North Carolina, US</t>
  </si>
  <si>
    <t>Yen-Yu Ian Shih, Uzay Emir</t>
  </si>
  <si>
    <t>In-Young Choi, Phil Lee</t>
  </si>
  <si>
    <t>Kansas City, Kansas, US</t>
  </si>
  <si>
    <t>Philipp Boehm-Sturm</t>
  </si>
  <si>
    <t>Berlin, Germany</t>
  </si>
  <si>
    <t>Mariano Uberti</t>
  </si>
  <si>
    <t>Omaha, Nebraska, US</t>
  </si>
  <si>
    <t>Markus Zeilinger</t>
  </si>
  <si>
    <t>Wiener Neustadt, Austria</t>
  </si>
  <si>
    <t>Johan Van Audekerke</t>
  </si>
  <si>
    <t>Antwerp, Belgium</t>
  </si>
  <si>
    <t>Bojana Stefanovic, Greg Stanisz</t>
  </si>
  <si>
    <t>Alireza Abaei, Dinesh Deelchand</t>
  </si>
  <si>
    <t>Ulm, Germany, Minneapolis, Minnesota, US</t>
  </si>
  <si>
    <t>Hikari Yoshihara, Xosé Luis Deán-Ben, Daniel Razansky</t>
  </si>
  <si>
    <t>Zurich, Switzerland</t>
  </si>
  <si>
    <t>Warren Foltz</t>
  </si>
  <si>
    <t>Ontario Canada</t>
  </si>
  <si>
    <t>Ivan Tkac, Raghavendra Rao</t>
  </si>
  <si>
    <t>Minneapolis, Minnesota, US</t>
  </si>
  <si>
    <t>Ivan Tkac</t>
  </si>
  <si>
    <t>Corin Miller</t>
  </si>
  <si>
    <t>Rahway, New Jersey, US</t>
  </si>
  <si>
    <t xml:space="preserve"> Kozlowski Piotr, Leavitt Blair</t>
  </si>
  <si>
    <t>Vancouver, Canada</t>
  </si>
  <si>
    <t>animal strain</t>
  </si>
  <si>
    <t>sex</t>
  </si>
  <si>
    <t>vendor</t>
  </si>
  <si>
    <t>field strength</t>
  </si>
  <si>
    <t>software version</t>
  </si>
  <si>
    <t>sequence</t>
  </si>
  <si>
    <t>region</t>
  </si>
  <si>
    <t>voxel volume</t>
  </si>
  <si>
    <t>4F, 4M</t>
  </si>
  <si>
    <t>R-hippocampus</t>
  </si>
  <si>
    <t>8M</t>
  </si>
  <si>
    <t>VNMRJ2.3</t>
  </si>
  <si>
    <t>L-hippocampus</t>
  </si>
  <si>
    <t>5F, 3M</t>
  </si>
  <si>
    <t>2F, 6M</t>
  </si>
  <si>
    <t>SLASER</t>
  </si>
  <si>
    <t>R-striatum</t>
  </si>
  <si>
    <t>PV360.3.5</t>
  </si>
  <si>
    <t>PV360.3.3</t>
  </si>
  <si>
    <t xml:space="preserve">rat </t>
  </si>
  <si>
    <t>8F</t>
  </si>
  <si>
    <t>VNMRJ1.1D</t>
  </si>
  <si>
    <t>L-striatum</t>
  </si>
  <si>
    <t>BALB/C</t>
  </si>
  <si>
    <t>3F, 5M</t>
  </si>
  <si>
    <t>PV360.1.1</t>
  </si>
  <si>
    <t>PV360.3.4</t>
  </si>
  <si>
    <t>VNMRJ4.2A</t>
  </si>
  <si>
    <t>VNMRJ6.1C</t>
  </si>
  <si>
    <t>6F, 2M</t>
  </si>
  <si>
    <t>.</t>
  </si>
  <si>
    <t>S1</t>
  </si>
  <si>
    <t>S3</t>
  </si>
  <si>
    <t>S4</t>
  </si>
  <si>
    <t>S5</t>
  </si>
  <si>
    <t>S6</t>
  </si>
  <si>
    <t>S7</t>
  </si>
  <si>
    <t>S8</t>
  </si>
  <si>
    <t>S9</t>
  </si>
  <si>
    <t>S2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</si>
  <si>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</si>
  <si>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</si>
  <si>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</si>
  <si>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</si>
  <si>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</si>
  <si>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</si>
  <si>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</si>
  <si>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</si>
  <si>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</si>
  <si>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site</t>
  </si>
  <si>
    <t>number of averages</t>
  </si>
  <si>
    <t>voxel size</t>
  </si>
  <si>
    <t>1.8 X 1.4 X 2</t>
  </si>
  <si>
    <t>age mean</t>
  </si>
  <si>
    <t>age SD</t>
  </si>
  <si>
    <t>comments</t>
  </si>
  <si>
    <t>129S6</t>
  </si>
  <si>
    <t>ages in days or weeks</t>
  </si>
  <si>
    <t>PV6.0 annotated same as PV6.0.1</t>
  </si>
  <si>
    <t>R-hipocampus</t>
  </si>
  <si>
    <t>2.6 x 1.6 x 2.2</t>
  </si>
  <si>
    <t>2.5 x 1.5 x 3.0</t>
  </si>
  <si>
    <t>2.5 x 1.2 x 2.0</t>
  </si>
  <si>
    <t>no DOB/age, weights</t>
  </si>
  <si>
    <t>sub-01 NAA LW = 60 =&gt; SNR/LW ~0.7</t>
  </si>
  <si>
    <t>sub-07 voxel size is 3.1 x 0.9 x 1.3 instead of 3.1 x 0.9 x 1.4</t>
  </si>
  <si>
    <t>sub-01, sub-03, sub-04 3.8 x 2.3 x 1.8 instead of 3.8 x 2.5 x 1.8; sub-06, sub-07, sub-08 have SNR/LW ratios x5, x4, x8 times higher than the others</t>
  </si>
  <si>
    <t>sub02 corrupted data</t>
  </si>
  <si>
    <t>sub-01 rejected due to distortions; SNR/LW ~ 0.3; sub-06-very low SNR/LW similar to sub01, ~0.8</t>
  </si>
  <si>
    <t>sub-06 SNR/LW ~ 0.4 and x8-10 smaller than other ratios; sub-08 SNR/LW ~ 0.7 and x6-8 smaller than other ratios</t>
  </si>
  <si>
    <t>no sex</t>
  </si>
  <si>
    <t>no DOB/age, sex</t>
  </si>
  <si>
    <t>sub-02 corrupted data</t>
  </si>
  <si>
    <t>sub-01 L-hippocampus, all others R-hipocampus; sub-01, sub-04 discard due to poor quality</t>
  </si>
  <si>
    <t>sub-02 no weight</t>
  </si>
  <si>
    <t>voxel sizes: sub-01 5.4 x 1.2 x  1.8; sub-02 4 x 1.2 1.2; sub-03 4 x 1.6 x 1.7; sub-04 5.3 x 1 x 1.6; sub-05 3.7 x 1.6 x 2; sub-06 5.8 x 1.3 x 1.2; sub-07 4.2 x 1.2 x 1.9 mrsref corrupted, NO water scan!!; sub-08 4.2 x 1.5 x 1.5</t>
  </si>
  <si>
    <t>all high taurine</t>
  </si>
  <si>
    <t>all high lactate</t>
  </si>
  <si>
    <t>no sex, sub03, sub-04 - high lactate</t>
  </si>
  <si>
    <t>sub-01 discard due to distortions near NAA</t>
  </si>
  <si>
    <t>sub-04, sub-07 fix phase; only 65 days of age</t>
  </si>
  <si>
    <t>all high taurine, only 65 days of age, same animals as DP22?</t>
  </si>
  <si>
    <t>SNR/LW differences of an order of magnitude due to low SNR; same animals as DP24? PV6.0 annotated same as PV6.0.1</t>
  </si>
  <si>
    <t>no weight, only sub-06 ses-02and sub-08 se-s02 are 2.3 x 1.2 x 2.0 instead of 2.5 x 1.2 x 2.0</t>
  </si>
  <si>
    <t>sub-08 fix phase, sub-01-05 high lactate; sub-03 low SNR/LW; same ages to all animals, ages in days or weeks</t>
  </si>
  <si>
    <t>no weight, same ages to all animals, ages in days or weeks</t>
  </si>
  <si>
    <t>Rat BHBA infused data or 3 WT mice with brainstem and cortex scans followed longitudinally (four time points)</t>
  </si>
  <si>
    <t>all very low SNR/LW ratios</t>
  </si>
  <si>
    <t>sub-02, sub-03, maybe sub-05 too fix phase + frequency; no weight, same ages to all animals, ages in days or weeks; check voxel size; sub-01 and sub-04 have voxel sizes of 3.0 x 1.5 x 3.0 and 3.1 x 2.1 x 3.0</t>
  </si>
  <si>
    <t>2.8 x 2 x 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</si>
</sst>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2" fontId="0" fillId="0" borderId="0" xfId="0" applyNumberFormat="1" applyFont="1"/>
    <xf numFmtId="2" fontId="0" fillId="2" borderId="0" xfId="0" applyNumberFormat="1" applyFont="1" applyFill="1"/>
    <xf numFmtId="0" fontId="0" fillId="0" borderId="0" xfId="0" applyFont="1" applyFill="1"/>
    <xf numFmtId="2" fontId="0" fillId="0" borderId="0" xfId="0" applyNumberFormat="1" applyFont="1" applyFill="1"/>
    <xf numFmtId="0" fontId="0" fillId="2" borderId="0" xfId="0" applyFont="1" applyFill="1"/>
    <xf numFmtId="0" fontId="0" fillId="3" borderId="0" xfId="0" applyFont="1" applyFill="1"/>
    <xf numFmtId="2" fontId="0" fillId="3" borderId="0" xfId="0" applyNumberFormat="1" applyFont="1" applyFill="1"/>
    <xf numFmtId="0" fontId="0" fillId="4" borderId="0" xfId="0" applyFont="1" applyFill="1"/>
    <xf numFmtId="0" fontId="2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D26A-CA18-489B-9A83-EA506843FF4D}">
  <dimension ref="A3:R48"/>
  <sheetViews>
    <sheetView tabSelected="1" zoomScale="90" zoomScaleNormal="90" workbookViewId="0">
      <selection activeCell="G37" sqref="G37"/>
    </sheetView>
  </sheetViews>
  <sheetFormatPr defaultRowHeight="14.5" x14ac:dyDescent="0.35"/>
  <cols>
    <col min="1" max="2" width="8.7265625" style="1"/>
    <col min="3" max="3" width="22.7265625" style="1" customWidth="1"/>
    <col min="4" max="4" width="26" style="1" customWidth="1"/>
    <col min="5" max="5" width="6.90625" style="1" bestFit="1" customWidth="1"/>
    <col min="6" max="6" width="11.453125" style="1" bestFit="1" customWidth="1"/>
    <col min="7" max="8" width="11.453125" style="1" customWidth="1"/>
    <col min="9" max="9" width="6.453125" style="1" bestFit="1" customWidth="1"/>
    <col min="10" max="10" width="6.6328125" style="1" bestFit="1" customWidth="1"/>
    <col min="11" max="11" width="11.6328125" style="1" bestFit="1" customWidth="1"/>
    <col min="12" max="12" width="14.81640625" style="1" bestFit="1" customWidth="1"/>
    <col min="13" max="13" width="8.6328125" style="1" bestFit="1" customWidth="1"/>
    <col min="14" max="14" width="8.6328125" style="1" customWidth="1"/>
    <col min="15" max="15" width="13.6328125" style="1" bestFit="1" customWidth="1"/>
    <col min="16" max="16" width="12.453125" style="1" bestFit="1" customWidth="1"/>
    <col min="17" max="16384" width="8.7265625" style="1"/>
  </cols>
  <sheetData>
    <row r="3" spans="1:18" x14ac:dyDescent="0.35">
      <c r="A3" s="1" t="s">
        <v>82</v>
      </c>
      <c r="B3" s="1" t="s">
        <v>171</v>
      </c>
      <c r="C3" s="1" t="s">
        <v>86</v>
      </c>
      <c r="D3" s="1" t="s">
        <v>83</v>
      </c>
      <c r="E3" s="1" t="s">
        <v>84</v>
      </c>
      <c r="F3" s="1" t="s">
        <v>122</v>
      </c>
      <c r="G3" s="1" t="s">
        <v>175</v>
      </c>
      <c r="H3" s="1" t="s">
        <v>176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127</v>
      </c>
      <c r="N3" s="1" t="s">
        <v>172</v>
      </c>
      <c r="O3" s="1" t="s">
        <v>128</v>
      </c>
      <c r="P3" s="1" t="s">
        <v>173</v>
      </c>
      <c r="Q3" s="1" t="s">
        <v>129</v>
      </c>
      <c r="R3" s="1" t="s">
        <v>177</v>
      </c>
    </row>
    <row r="4" spans="1:18" x14ac:dyDescent="0.35">
      <c r="A4" s="1" t="s">
        <v>80</v>
      </c>
      <c r="B4" s="1" t="s">
        <v>153</v>
      </c>
      <c r="C4" s="1" t="s">
        <v>88</v>
      </c>
      <c r="D4" s="1" t="s">
        <v>89</v>
      </c>
      <c r="E4" s="1" t="s">
        <v>78</v>
      </c>
      <c r="F4" s="1" t="s">
        <v>0</v>
      </c>
      <c r="G4" s="2">
        <v>123</v>
      </c>
      <c r="H4" s="2">
        <v>4.1533119314590374</v>
      </c>
      <c r="I4" s="1" t="s">
        <v>130</v>
      </c>
      <c r="J4" s="1" t="s">
        <v>1</v>
      </c>
      <c r="K4" s="1">
        <v>7</v>
      </c>
      <c r="L4" s="1" t="s">
        <v>2</v>
      </c>
      <c r="M4" s="1" t="s">
        <v>3</v>
      </c>
      <c r="N4" s="1">
        <v>256</v>
      </c>
      <c r="O4" s="1" t="s">
        <v>131</v>
      </c>
      <c r="P4" s="1" t="s">
        <v>4</v>
      </c>
      <c r="Q4" s="1">
        <f>2.5*3.5*3.5</f>
        <v>30.625</v>
      </c>
    </row>
    <row r="5" spans="1:18" x14ac:dyDescent="0.35">
      <c r="A5" s="1" t="s">
        <v>5</v>
      </c>
      <c r="B5" s="1" t="s">
        <v>161</v>
      </c>
      <c r="C5" s="1" t="s">
        <v>87</v>
      </c>
      <c r="D5" s="1" t="s">
        <v>85</v>
      </c>
      <c r="E5" s="1" t="s">
        <v>78</v>
      </c>
      <c r="F5" s="1" t="s">
        <v>6</v>
      </c>
      <c r="G5" s="3" t="s">
        <v>76</v>
      </c>
      <c r="H5" s="3" t="s">
        <v>76</v>
      </c>
      <c r="I5" s="1" t="s">
        <v>132</v>
      </c>
      <c r="J5" s="1" t="s">
        <v>7</v>
      </c>
      <c r="K5" s="1">
        <v>9.4</v>
      </c>
      <c r="L5" s="1" t="s">
        <v>133</v>
      </c>
      <c r="M5" s="1" t="s">
        <v>8</v>
      </c>
      <c r="N5" s="4">
        <v>160</v>
      </c>
      <c r="O5" s="1" t="s">
        <v>134</v>
      </c>
      <c r="P5" s="1" t="s">
        <v>9</v>
      </c>
      <c r="Q5" s="1">
        <f>2*2.8*2</f>
        <v>11.2</v>
      </c>
      <c r="R5" s="1" t="s">
        <v>185</v>
      </c>
    </row>
    <row r="6" spans="1:18" x14ac:dyDescent="0.35">
      <c r="A6" s="1" t="s">
        <v>10</v>
      </c>
      <c r="B6" s="1" t="s">
        <v>153</v>
      </c>
      <c r="C6" s="1" t="s">
        <v>88</v>
      </c>
      <c r="D6" s="1" t="s">
        <v>89</v>
      </c>
      <c r="E6" s="1" t="s">
        <v>78</v>
      </c>
      <c r="F6" s="1" t="s">
        <v>0</v>
      </c>
      <c r="G6" s="2">
        <v>123</v>
      </c>
      <c r="H6" s="2">
        <v>4.1533119314590374</v>
      </c>
      <c r="I6" s="1" t="s">
        <v>130</v>
      </c>
      <c r="J6" s="1" t="s">
        <v>1</v>
      </c>
      <c r="K6" s="1">
        <v>7</v>
      </c>
      <c r="L6" s="1" t="s">
        <v>2</v>
      </c>
      <c r="M6" s="1" t="s">
        <v>3</v>
      </c>
      <c r="N6" s="1">
        <v>256</v>
      </c>
      <c r="O6" s="1" t="s">
        <v>131</v>
      </c>
      <c r="P6" s="1" t="s">
        <v>4</v>
      </c>
      <c r="Q6" s="1">
        <f>2.5*3.5*3.5</f>
        <v>30.625</v>
      </c>
    </row>
    <row r="7" spans="1:18" x14ac:dyDescent="0.35">
      <c r="A7" s="1" t="s">
        <v>11</v>
      </c>
      <c r="B7" s="1" t="s">
        <v>154</v>
      </c>
      <c r="C7" s="1" t="s">
        <v>90</v>
      </c>
      <c r="D7" s="1" t="s">
        <v>91</v>
      </c>
      <c r="E7" s="1" t="s">
        <v>79</v>
      </c>
      <c r="F7" s="1" t="s">
        <v>12</v>
      </c>
      <c r="G7" s="2">
        <v>103</v>
      </c>
      <c r="H7" s="2">
        <v>6.800735254367722</v>
      </c>
      <c r="I7" s="1" t="s">
        <v>135</v>
      </c>
      <c r="J7" s="1" t="s">
        <v>1</v>
      </c>
      <c r="K7" s="1">
        <v>9.4</v>
      </c>
      <c r="L7" s="1" t="s">
        <v>13</v>
      </c>
      <c r="M7" s="1" t="s">
        <v>3</v>
      </c>
      <c r="N7" s="1">
        <v>512</v>
      </c>
      <c r="O7" s="1" t="s">
        <v>134</v>
      </c>
      <c r="P7" s="1" t="s">
        <v>14</v>
      </c>
      <c r="Q7" s="1">
        <f>2.2*1.2*2.5</f>
        <v>6.6000000000000005</v>
      </c>
      <c r="R7" s="10" t="s">
        <v>186</v>
      </c>
    </row>
    <row r="8" spans="1:18" x14ac:dyDescent="0.35">
      <c r="A8" s="1" t="s">
        <v>15</v>
      </c>
      <c r="B8" s="1" t="s">
        <v>155</v>
      </c>
      <c r="C8" s="1" t="s">
        <v>92</v>
      </c>
      <c r="D8" s="1" t="s">
        <v>93</v>
      </c>
      <c r="E8" s="1" t="s">
        <v>79</v>
      </c>
      <c r="F8" s="1" t="s">
        <v>12</v>
      </c>
      <c r="G8" s="2">
        <v>94.75</v>
      </c>
      <c r="H8" s="2">
        <v>20.302401335802621</v>
      </c>
      <c r="I8" s="1" t="s">
        <v>136</v>
      </c>
      <c r="J8" s="1" t="s">
        <v>1</v>
      </c>
      <c r="K8" s="1">
        <v>7</v>
      </c>
      <c r="L8" s="1" t="s">
        <v>16</v>
      </c>
      <c r="M8" s="1" t="s">
        <v>3</v>
      </c>
      <c r="N8" s="1">
        <v>256</v>
      </c>
      <c r="O8" s="1" t="s">
        <v>131</v>
      </c>
      <c r="P8" s="1" t="s">
        <v>17</v>
      </c>
      <c r="Q8" s="1">
        <f>1.2*2*2.2</f>
        <v>5.28</v>
      </c>
      <c r="R8" s="1" t="s">
        <v>189</v>
      </c>
    </row>
    <row r="9" spans="1:18" x14ac:dyDescent="0.35">
      <c r="A9" s="1" t="s">
        <v>18</v>
      </c>
      <c r="B9" s="1" t="s">
        <v>156</v>
      </c>
      <c r="C9" s="1" t="s">
        <v>94</v>
      </c>
      <c r="D9" s="1" t="s">
        <v>95</v>
      </c>
      <c r="E9" s="1" t="s">
        <v>79</v>
      </c>
      <c r="F9" s="1" t="s">
        <v>12</v>
      </c>
      <c r="G9" s="5">
        <v>132.375</v>
      </c>
      <c r="H9" s="5">
        <v>22.753777158968575</v>
      </c>
      <c r="I9" s="1" t="s">
        <v>132</v>
      </c>
      <c r="J9" s="1" t="s">
        <v>1</v>
      </c>
      <c r="K9" s="1">
        <v>7</v>
      </c>
      <c r="L9" s="1" t="s">
        <v>139</v>
      </c>
      <c r="M9" s="1" t="s">
        <v>137</v>
      </c>
      <c r="N9" s="1">
        <v>256</v>
      </c>
      <c r="O9" s="1" t="s">
        <v>131</v>
      </c>
      <c r="P9" s="1" t="s">
        <v>19</v>
      </c>
      <c r="Q9" s="1">
        <f>3.1*0.9*1.4</f>
        <v>3.9059999999999997</v>
      </c>
      <c r="R9" s="1" t="s">
        <v>187</v>
      </c>
    </row>
    <row r="10" spans="1:18" x14ac:dyDescent="0.35">
      <c r="A10" s="1" t="s">
        <v>20</v>
      </c>
      <c r="B10" s="1" t="s">
        <v>156</v>
      </c>
      <c r="C10" s="1" t="s">
        <v>94</v>
      </c>
      <c r="D10" s="1" t="s">
        <v>95</v>
      </c>
      <c r="E10" s="1" t="s">
        <v>79</v>
      </c>
      <c r="F10" s="1" t="s">
        <v>12</v>
      </c>
      <c r="G10" s="5">
        <v>134.125</v>
      </c>
      <c r="H10" s="5">
        <v>19.725855494756114</v>
      </c>
      <c r="I10" s="1" t="s">
        <v>132</v>
      </c>
      <c r="J10" s="1" t="s">
        <v>1</v>
      </c>
      <c r="K10" s="1">
        <v>7</v>
      </c>
      <c r="L10" s="1" t="s">
        <v>139</v>
      </c>
      <c r="M10" s="1" t="s">
        <v>137</v>
      </c>
      <c r="N10" s="1">
        <v>256</v>
      </c>
      <c r="O10" s="1" t="s">
        <v>138</v>
      </c>
      <c r="P10" s="1" t="s">
        <v>21</v>
      </c>
      <c r="Q10" s="1">
        <f>1.3*1.3*1.4</f>
        <v>2.3660000000000001</v>
      </c>
      <c r="R10" s="1" t="s">
        <v>190</v>
      </c>
    </row>
    <row r="11" spans="1:18" x14ac:dyDescent="0.35">
      <c r="A11" s="1" t="s">
        <v>22</v>
      </c>
      <c r="B11" s="1" t="s">
        <v>156</v>
      </c>
      <c r="C11" s="1" t="s">
        <v>94</v>
      </c>
      <c r="D11" s="1" t="s">
        <v>95</v>
      </c>
      <c r="E11" s="1" t="s">
        <v>141</v>
      </c>
      <c r="F11" s="1" t="s">
        <v>6</v>
      </c>
      <c r="G11" s="5">
        <v>100.625</v>
      </c>
      <c r="H11" s="5">
        <v>3.4255474015111802</v>
      </c>
      <c r="I11" s="1" t="s">
        <v>132</v>
      </c>
      <c r="J11" s="1" t="s">
        <v>1</v>
      </c>
      <c r="K11" s="1">
        <v>7</v>
      </c>
      <c r="L11" s="1" t="s">
        <v>140</v>
      </c>
      <c r="M11" s="1" t="s">
        <v>137</v>
      </c>
      <c r="N11" s="1">
        <v>256</v>
      </c>
      <c r="O11" s="1" t="s">
        <v>131</v>
      </c>
      <c r="P11" s="1" t="s">
        <v>23</v>
      </c>
      <c r="Q11" s="1">
        <f>3.8*2.5*1.8</f>
        <v>17.100000000000001</v>
      </c>
      <c r="R11" s="1" t="s">
        <v>188</v>
      </c>
    </row>
    <row r="12" spans="1:18" x14ac:dyDescent="0.35">
      <c r="A12" s="1" t="s">
        <v>24</v>
      </c>
      <c r="B12" s="1" t="s">
        <v>154</v>
      </c>
      <c r="C12" s="1" t="s">
        <v>90</v>
      </c>
      <c r="D12" s="1" t="s">
        <v>91</v>
      </c>
      <c r="E12" s="1" t="s">
        <v>78</v>
      </c>
      <c r="F12" s="1" t="s">
        <v>0</v>
      </c>
      <c r="G12" s="2">
        <v>545.125</v>
      </c>
      <c r="H12" s="2">
        <v>12.524351280605316</v>
      </c>
      <c r="I12" s="1" t="s">
        <v>130</v>
      </c>
      <c r="J12" s="1" t="s">
        <v>1</v>
      </c>
      <c r="K12" s="1">
        <v>9.4</v>
      </c>
      <c r="L12" s="1" t="s">
        <v>16</v>
      </c>
      <c r="M12" s="1" t="s">
        <v>3</v>
      </c>
      <c r="N12" s="1">
        <v>256</v>
      </c>
      <c r="O12" s="1" t="s">
        <v>131</v>
      </c>
      <c r="P12" s="1" t="s">
        <v>25</v>
      </c>
      <c r="Q12" s="1">
        <f>3*2*2</f>
        <v>12</v>
      </c>
      <c r="R12" s="1" t="s">
        <v>191</v>
      </c>
    </row>
    <row r="13" spans="1:18" x14ac:dyDescent="0.35">
      <c r="A13" s="1" t="s">
        <v>26</v>
      </c>
      <c r="B13" s="1" t="s">
        <v>157</v>
      </c>
      <c r="C13" s="1" t="s">
        <v>97</v>
      </c>
      <c r="D13" s="1" t="s">
        <v>96</v>
      </c>
      <c r="E13" s="1" t="s">
        <v>79</v>
      </c>
      <c r="F13" s="1" t="s">
        <v>12</v>
      </c>
      <c r="G13" s="2">
        <v>159.5</v>
      </c>
      <c r="H13" s="2">
        <v>0.5</v>
      </c>
      <c r="I13" s="1" t="s">
        <v>142</v>
      </c>
      <c r="J13" s="1" t="s">
        <v>1</v>
      </c>
      <c r="K13" s="1">
        <v>9.4</v>
      </c>
      <c r="L13" s="1" t="s">
        <v>139</v>
      </c>
      <c r="M13" s="1" t="s">
        <v>3</v>
      </c>
      <c r="N13" s="1">
        <v>256</v>
      </c>
      <c r="O13" s="1" t="s">
        <v>131</v>
      </c>
      <c r="P13" s="1" t="s">
        <v>27</v>
      </c>
      <c r="Q13" s="1">
        <f>2*1*2</f>
        <v>4</v>
      </c>
      <c r="R13" s="1" t="s">
        <v>77</v>
      </c>
    </row>
    <row r="14" spans="1:18" x14ac:dyDescent="0.35">
      <c r="A14" s="1" t="s">
        <v>28</v>
      </c>
      <c r="B14" s="1" t="s">
        <v>158</v>
      </c>
      <c r="C14" s="1" t="s">
        <v>98</v>
      </c>
      <c r="D14" s="1" t="s">
        <v>99</v>
      </c>
      <c r="E14" s="1" t="s">
        <v>78</v>
      </c>
      <c r="F14" s="1" t="s">
        <v>29</v>
      </c>
      <c r="G14" s="2">
        <v>202.5</v>
      </c>
      <c r="H14" s="2">
        <v>26.396022427631024</v>
      </c>
      <c r="I14" s="6" t="s">
        <v>76</v>
      </c>
      <c r="J14" s="1" t="s">
        <v>7</v>
      </c>
      <c r="K14" s="1">
        <v>9.4</v>
      </c>
      <c r="L14" s="1" t="s">
        <v>143</v>
      </c>
      <c r="M14" s="1" t="s">
        <v>8</v>
      </c>
      <c r="N14" s="1">
        <v>320</v>
      </c>
      <c r="O14" s="1" t="s">
        <v>134</v>
      </c>
      <c r="P14" s="9" t="s">
        <v>30</v>
      </c>
      <c r="Q14" s="1">
        <f>3*2.5*3</f>
        <v>22.5</v>
      </c>
      <c r="R14" s="1" t="s">
        <v>192</v>
      </c>
    </row>
    <row r="15" spans="1:18" x14ac:dyDescent="0.35">
      <c r="A15" s="1" t="s">
        <v>31</v>
      </c>
      <c r="B15" s="1" t="s">
        <v>158</v>
      </c>
      <c r="C15" s="1" t="s">
        <v>98</v>
      </c>
      <c r="D15" s="1" t="s">
        <v>99</v>
      </c>
      <c r="E15" s="1" t="s">
        <v>79</v>
      </c>
      <c r="F15" s="1" t="s">
        <v>12</v>
      </c>
      <c r="G15" s="3" t="s">
        <v>76</v>
      </c>
      <c r="H15" s="3" t="s">
        <v>76</v>
      </c>
      <c r="I15" s="6" t="s">
        <v>76</v>
      </c>
      <c r="J15" s="1" t="s">
        <v>7</v>
      </c>
      <c r="K15" s="1">
        <v>9.4</v>
      </c>
      <c r="L15" s="1" t="s">
        <v>143</v>
      </c>
      <c r="M15" s="1" t="s">
        <v>8</v>
      </c>
      <c r="N15" s="1">
        <v>480</v>
      </c>
      <c r="O15" s="1" t="s">
        <v>134</v>
      </c>
      <c r="P15" s="9" t="s">
        <v>32</v>
      </c>
      <c r="Q15" s="1">
        <f>2.2*1.2*2.2</f>
        <v>5.8080000000000007</v>
      </c>
      <c r="R15" s="1" t="s">
        <v>193</v>
      </c>
    </row>
    <row r="16" spans="1:18" x14ac:dyDescent="0.35">
      <c r="A16" s="1" t="s">
        <v>33</v>
      </c>
      <c r="B16" s="1" t="s">
        <v>158</v>
      </c>
      <c r="C16" s="1" t="s">
        <v>98</v>
      </c>
      <c r="D16" s="1" t="s">
        <v>99</v>
      </c>
      <c r="E16" s="1" t="s">
        <v>79</v>
      </c>
      <c r="F16" s="1" t="s">
        <v>12</v>
      </c>
      <c r="G16" s="2">
        <v>201</v>
      </c>
      <c r="H16" s="2">
        <v>0</v>
      </c>
      <c r="I16" s="6" t="s">
        <v>76</v>
      </c>
      <c r="J16" s="1" t="s">
        <v>7</v>
      </c>
      <c r="K16" s="1">
        <v>9.4</v>
      </c>
      <c r="L16" s="1" t="s">
        <v>143</v>
      </c>
      <c r="M16" s="1" t="s">
        <v>8</v>
      </c>
      <c r="N16" s="1">
        <v>480</v>
      </c>
      <c r="O16" s="1" t="s">
        <v>134</v>
      </c>
      <c r="P16" s="9" t="s">
        <v>34</v>
      </c>
      <c r="Q16" s="1">
        <f>2.2*1.2*2</f>
        <v>5.28</v>
      </c>
      <c r="R16" s="1" t="s">
        <v>200</v>
      </c>
    </row>
    <row r="17" spans="1:18" x14ac:dyDescent="0.35">
      <c r="A17" s="1" t="s">
        <v>35</v>
      </c>
      <c r="B17" s="1" t="s">
        <v>159</v>
      </c>
      <c r="C17" s="1" t="s">
        <v>100</v>
      </c>
      <c r="D17" s="1" t="s">
        <v>101</v>
      </c>
      <c r="E17" s="1" t="s">
        <v>79</v>
      </c>
      <c r="F17" s="1" t="s">
        <v>12</v>
      </c>
      <c r="G17" s="2">
        <v>155.375</v>
      </c>
      <c r="H17" s="2">
        <v>1.6535945694153691</v>
      </c>
      <c r="I17" s="1" t="s">
        <v>132</v>
      </c>
      <c r="J17" s="1" t="s">
        <v>1</v>
      </c>
      <c r="K17" s="1">
        <v>7</v>
      </c>
      <c r="L17" s="1" t="s">
        <v>13</v>
      </c>
      <c r="M17" s="1" t="s">
        <v>36</v>
      </c>
      <c r="N17" s="1">
        <v>256</v>
      </c>
      <c r="O17" s="1" t="s">
        <v>144</v>
      </c>
      <c r="P17" s="1" t="s">
        <v>37</v>
      </c>
      <c r="Q17" s="1">
        <f>2*2*2</f>
        <v>8</v>
      </c>
      <c r="R17" s="1" t="s">
        <v>199</v>
      </c>
    </row>
    <row r="18" spans="1:18" x14ac:dyDescent="0.35">
      <c r="A18" s="1" t="s">
        <v>38</v>
      </c>
      <c r="B18" s="1" t="s">
        <v>160</v>
      </c>
      <c r="C18" s="1" t="s">
        <v>102</v>
      </c>
      <c r="D18" s="1" t="s">
        <v>103</v>
      </c>
      <c r="E18" s="1" t="s">
        <v>79</v>
      </c>
      <c r="F18" s="1" t="s">
        <v>12</v>
      </c>
      <c r="G18" s="2">
        <v>132.375</v>
      </c>
      <c r="H18" s="2">
        <v>29.021274524045285</v>
      </c>
      <c r="I18" s="1" t="s">
        <v>132</v>
      </c>
      <c r="J18" s="1" t="s">
        <v>1</v>
      </c>
      <c r="K18" s="1">
        <v>7</v>
      </c>
      <c r="L18" s="1" t="s">
        <v>13</v>
      </c>
      <c r="M18" s="1" t="s">
        <v>137</v>
      </c>
      <c r="N18" s="1">
        <v>512</v>
      </c>
      <c r="O18" s="1" t="s">
        <v>131</v>
      </c>
      <c r="P18" s="1" t="s">
        <v>182</v>
      </c>
      <c r="Q18" s="1">
        <f>2.6*1.6*2.2</f>
        <v>9.152000000000001</v>
      </c>
    </row>
    <row r="19" spans="1:18" x14ac:dyDescent="0.35">
      <c r="A19" s="1" t="s">
        <v>39</v>
      </c>
      <c r="B19" s="1" t="s">
        <v>160</v>
      </c>
      <c r="C19" s="1" t="s">
        <v>102</v>
      </c>
      <c r="D19" s="1" t="s">
        <v>103</v>
      </c>
      <c r="E19" s="1" t="s">
        <v>79</v>
      </c>
      <c r="F19" s="1" t="s">
        <v>12</v>
      </c>
      <c r="G19" s="2">
        <v>181</v>
      </c>
      <c r="H19" s="2">
        <v>56.318291877506368</v>
      </c>
      <c r="I19" s="1" t="s">
        <v>132</v>
      </c>
      <c r="J19" s="1" t="s">
        <v>1</v>
      </c>
      <c r="K19" s="1">
        <v>7</v>
      </c>
      <c r="L19" s="1" t="s">
        <v>16</v>
      </c>
      <c r="M19" s="1" t="s">
        <v>137</v>
      </c>
      <c r="N19" s="1">
        <v>512</v>
      </c>
      <c r="O19" s="1" t="s">
        <v>131</v>
      </c>
      <c r="P19" s="1" t="s">
        <v>182</v>
      </c>
      <c r="Q19" s="1">
        <f>2.6*1.6*2.2</f>
        <v>9.152000000000001</v>
      </c>
      <c r="R19" s="1" t="s">
        <v>194</v>
      </c>
    </row>
    <row r="20" spans="1:18" x14ac:dyDescent="0.35">
      <c r="A20" s="1" t="s">
        <v>40</v>
      </c>
      <c r="B20" s="1" t="s">
        <v>162</v>
      </c>
      <c r="C20" s="1" t="s">
        <v>104</v>
      </c>
      <c r="D20" s="1" t="s">
        <v>105</v>
      </c>
      <c r="E20" s="1" t="s">
        <v>79</v>
      </c>
      <c r="F20" s="1" t="s">
        <v>145</v>
      </c>
      <c r="G20" s="2">
        <v>81</v>
      </c>
      <c r="H20" s="2">
        <v>24.819347291981714</v>
      </c>
      <c r="I20" s="1" t="s">
        <v>142</v>
      </c>
      <c r="J20" s="1" t="s">
        <v>1</v>
      </c>
      <c r="K20" s="1">
        <v>15.2</v>
      </c>
      <c r="L20" s="1" t="s">
        <v>16</v>
      </c>
      <c r="M20" s="1" t="s">
        <v>3</v>
      </c>
      <c r="N20" s="1">
        <v>128</v>
      </c>
      <c r="O20" s="4" t="s">
        <v>181</v>
      </c>
      <c r="P20" s="1" t="s">
        <v>41</v>
      </c>
      <c r="Q20" s="1">
        <f>1.2*1*1.2</f>
        <v>1.44</v>
      </c>
      <c r="R20" s="1" t="s">
        <v>195</v>
      </c>
    </row>
    <row r="21" spans="1:18" x14ac:dyDescent="0.35">
      <c r="A21" s="1" t="s">
        <v>42</v>
      </c>
      <c r="B21" s="1" t="s">
        <v>163</v>
      </c>
      <c r="C21" s="1" t="s">
        <v>106</v>
      </c>
      <c r="D21" s="1" t="s">
        <v>107</v>
      </c>
      <c r="E21" s="1" t="s">
        <v>79</v>
      </c>
      <c r="F21" s="4" t="s">
        <v>178</v>
      </c>
      <c r="G21" s="5">
        <v>540</v>
      </c>
      <c r="H21" s="5">
        <v>0</v>
      </c>
      <c r="I21" s="1" t="s">
        <v>142</v>
      </c>
      <c r="J21" s="4" t="s">
        <v>1</v>
      </c>
      <c r="K21" s="4">
        <v>9.4</v>
      </c>
      <c r="L21" s="1" t="s">
        <v>13</v>
      </c>
      <c r="M21" s="4" t="s">
        <v>69</v>
      </c>
      <c r="N21" s="4">
        <v>128</v>
      </c>
      <c r="O21" s="4" t="s">
        <v>131</v>
      </c>
      <c r="P21" s="4" t="s">
        <v>174</v>
      </c>
      <c r="Q21" s="4">
        <f>1.8*1.4*2</f>
        <v>5.04</v>
      </c>
      <c r="R21" s="1" t="s">
        <v>196</v>
      </c>
    </row>
    <row r="22" spans="1:18" x14ac:dyDescent="0.35">
      <c r="A22" s="1" t="s">
        <v>43</v>
      </c>
      <c r="B22" s="1" t="s">
        <v>164</v>
      </c>
      <c r="C22" s="1" t="s">
        <v>108</v>
      </c>
      <c r="D22" s="1" t="s">
        <v>89</v>
      </c>
      <c r="E22" s="1" t="s">
        <v>78</v>
      </c>
      <c r="F22" s="1" t="s">
        <v>0</v>
      </c>
      <c r="G22" s="2">
        <v>225</v>
      </c>
      <c r="H22" s="2">
        <v>77.94228634059948</v>
      </c>
      <c r="I22" s="1" t="s">
        <v>146</v>
      </c>
      <c r="J22" s="1" t="s">
        <v>1</v>
      </c>
      <c r="K22" s="1">
        <v>7</v>
      </c>
      <c r="L22" s="1" t="s">
        <v>13</v>
      </c>
      <c r="M22" s="1" t="s">
        <v>3</v>
      </c>
      <c r="N22" s="1">
        <v>1000</v>
      </c>
      <c r="O22" s="1" t="s">
        <v>134</v>
      </c>
      <c r="P22" s="1" t="s">
        <v>44</v>
      </c>
      <c r="Q22" s="1">
        <f>4*1.5*1.2</f>
        <v>7.1999999999999993</v>
      </c>
      <c r="R22" s="1" t="s">
        <v>197</v>
      </c>
    </row>
    <row r="23" spans="1:18" x14ac:dyDescent="0.35">
      <c r="A23" s="1" t="s">
        <v>45</v>
      </c>
      <c r="B23" s="1" t="s">
        <v>165</v>
      </c>
      <c r="C23" s="1" t="s">
        <v>109</v>
      </c>
      <c r="D23" s="1" t="s">
        <v>110</v>
      </c>
      <c r="E23" s="1" t="s">
        <v>79</v>
      </c>
      <c r="F23" s="1" t="s">
        <v>12</v>
      </c>
      <c r="G23" s="2">
        <v>146.875</v>
      </c>
      <c r="H23" s="2">
        <v>22.374301665079962</v>
      </c>
      <c r="I23" s="1" t="s">
        <v>142</v>
      </c>
      <c r="J23" s="1" t="s">
        <v>1</v>
      </c>
      <c r="K23" s="1">
        <v>11.7</v>
      </c>
      <c r="L23" s="1" t="s">
        <v>13</v>
      </c>
      <c r="M23" s="1" t="s">
        <v>36</v>
      </c>
      <c r="N23" s="1">
        <v>256</v>
      </c>
      <c r="O23" s="1" t="s">
        <v>138</v>
      </c>
      <c r="P23" s="1" t="s">
        <v>46</v>
      </c>
      <c r="Q23" s="1">
        <f>1.9*2.2*1.7</f>
        <v>7.105999999999999</v>
      </c>
      <c r="R23" s="1" t="s">
        <v>198</v>
      </c>
    </row>
    <row r="24" spans="1:18" x14ac:dyDescent="0.35">
      <c r="A24" s="1" t="s">
        <v>47</v>
      </c>
      <c r="B24" s="1" t="s">
        <v>153</v>
      </c>
      <c r="C24" s="1" t="s">
        <v>88</v>
      </c>
      <c r="D24" s="1" t="s">
        <v>89</v>
      </c>
      <c r="E24" s="1" t="s">
        <v>79</v>
      </c>
      <c r="F24" s="1" t="s">
        <v>12</v>
      </c>
      <c r="G24" s="2">
        <v>110.625</v>
      </c>
      <c r="H24" s="2">
        <v>18.192975979756582</v>
      </c>
      <c r="I24" s="1" t="s">
        <v>130</v>
      </c>
      <c r="J24" s="1" t="s">
        <v>1</v>
      </c>
      <c r="K24" s="1">
        <v>7</v>
      </c>
      <c r="L24" s="1" t="s">
        <v>13</v>
      </c>
      <c r="M24" s="1" t="s">
        <v>3</v>
      </c>
      <c r="N24" s="1">
        <v>250</v>
      </c>
      <c r="O24" s="1" t="s">
        <v>134</v>
      </c>
      <c r="P24" s="1" t="s">
        <v>48</v>
      </c>
      <c r="Q24" s="1">
        <f>3*1.5*2</f>
        <v>9</v>
      </c>
      <c r="R24" s="1" t="s">
        <v>201</v>
      </c>
    </row>
    <row r="25" spans="1:18" x14ac:dyDescent="0.35">
      <c r="A25" s="1" t="s">
        <v>49</v>
      </c>
      <c r="B25" s="1" t="s">
        <v>161</v>
      </c>
      <c r="C25" s="1" t="s">
        <v>87</v>
      </c>
      <c r="D25" s="1" t="s">
        <v>85</v>
      </c>
      <c r="E25" s="1" t="s">
        <v>78</v>
      </c>
      <c r="F25" s="1" t="s">
        <v>6</v>
      </c>
      <c r="G25" s="2">
        <v>65.125</v>
      </c>
      <c r="H25" s="2">
        <v>0.59947894041408989</v>
      </c>
      <c r="I25" s="1" t="s">
        <v>130</v>
      </c>
      <c r="J25" s="1" t="s">
        <v>1</v>
      </c>
      <c r="K25" s="1">
        <v>14.1</v>
      </c>
      <c r="L25" s="1" t="s">
        <v>147</v>
      </c>
      <c r="M25" s="1" t="s">
        <v>50</v>
      </c>
      <c r="N25" s="1">
        <v>256</v>
      </c>
      <c r="O25" s="1" t="s">
        <v>134</v>
      </c>
      <c r="P25" s="1" t="s">
        <v>51</v>
      </c>
      <c r="Q25" s="1">
        <f>2.8*2*2</f>
        <v>11.2</v>
      </c>
      <c r="R25" s="1" t="s">
        <v>202</v>
      </c>
    </row>
    <row r="26" spans="1:18" x14ac:dyDescent="0.35">
      <c r="A26" s="1" t="s">
        <v>52</v>
      </c>
      <c r="B26" s="1" t="s">
        <v>161</v>
      </c>
      <c r="C26" s="1" t="s">
        <v>87</v>
      </c>
      <c r="D26" s="1" t="s">
        <v>85</v>
      </c>
      <c r="E26" s="1" t="s">
        <v>78</v>
      </c>
      <c r="F26" s="1" t="s">
        <v>6</v>
      </c>
      <c r="G26" s="2">
        <v>65.125</v>
      </c>
      <c r="H26" s="2">
        <v>0.59947894041408989</v>
      </c>
      <c r="I26" s="1" t="s">
        <v>130</v>
      </c>
      <c r="J26" s="1" t="s">
        <v>1</v>
      </c>
      <c r="K26" s="1">
        <v>14.1</v>
      </c>
      <c r="L26" s="1" t="s">
        <v>147</v>
      </c>
      <c r="M26" s="1" t="s">
        <v>50</v>
      </c>
      <c r="N26" s="1">
        <v>256</v>
      </c>
      <c r="O26" s="1" t="s">
        <v>144</v>
      </c>
      <c r="P26" s="1" t="s">
        <v>53</v>
      </c>
      <c r="Q26" s="1">
        <f>2.5*2.5*2.5</f>
        <v>15.625</v>
      </c>
      <c r="R26" s="1" t="s">
        <v>203</v>
      </c>
    </row>
    <row r="27" spans="1:18" x14ac:dyDescent="0.35">
      <c r="A27" s="1" t="s">
        <v>54</v>
      </c>
      <c r="B27" s="1" t="s">
        <v>166</v>
      </c>
      <c r="C27" s="1" t="s">
        <v>111</v>
      </c>
      <c r="D27" s="1" t="s">
        <v>112</v>
      </c>
      <c r="E27" s="1" t="s">
        <v>79</v>
      </c>
      <c r="F27" s="1" t="s">
        <v>55</v>
      </c>
      <c r="G27" s="2">
        <v>309.125</v>
      </c>
      <c r="H27" s="2">
        <v>79.494398387559357</v>
      </c>
      <c r="I27" s="1" t="s">
        <v>132</v>
      </c>
      <c r="J27" s="1" t="s">
        <v>1</v>
      </c>
      <c r="K27" s="1">
        <v>7</v>
      </c>
      <c r="L27" s="1" t="s">
        <v>13</v>
      </c>
      <c r="M27" s="1" t="s">
        <v>36</v>
      </c>
      <c r="N27" s="1">
        <v>128</v>
      </c>
      <c r="O27" s="1" t="s">
        <v>131</v>
      </c>
      <c r="P27" s="1" t="s">
        <v>56</v>
      </c>
      <c r="Q27" s="1">
        <f>2*1*2</f>
        <v>4</v>
      </c>
      <c r="R27" s="1" t="s">
        <v>180</v>
      </c>
    </row>
    <row r="28" spans="1:18" x14ac:dyDescent="0.35">
      <c r="A28" s="1" t="s">
        <v>57</v>
      </c>
      <c r="B28" s="1" t="s">
        <v>166</v>
      </c>
      <c r="C28" s="1" t="s">
        <v>111</v>
      </c>
      <c r="D28" s="1" t="s">
        <v>112</v>
      </c>
      <c r="E28" s="1" t="s">
        <v>79</v>
      </c>
      <c r="F28" s="1" t="s">
        <v>55</v>
      </c>
      <c r="G28" s="2">
        <v>309.125</v>
      </c>
      <c r="H28" s="2">
        <v>79.494398387559357</v>
      </c>
      <c r="I28" s="1" t="s">
        <v>132</v>
      </c>
      <c r="J28" s="1" t="s">
        <v>1</v>
      </c>
      <c r="K28" s="1">
        <v>7</v>
      </c>
      <c r="L28" s="1" t="s">
        <v>13</v>
      </c>
      <c r="M28" s="1" t="s">
        <v>3</v>
      </c>
      <c r="N28" s="1">
        <v>128</v>
      </c>
      <c r="O28" s="1" t="s">
        <v>131</v>
      </c>
      <c r="P28" s="1" t="s">
        <v>56</v>
      </c>
      <c r="Q28" s="1">
        <f>2*1*2</f>
        <v>4</v>
      </c>
      <c r="R28" s="1" t="s">
        <v>204</v>
      </c>
    </row>
    <row r="29" spans="1:18" x14ac:dyDescent="0.35">
      <c r="A29" s="1" t="s">
        <v>58</v>
      </c>
      <c r="B29" s="1" t="s">
        <v>153</v>
      </c>
      <c r="C29" s="1" t="s">
        <v>88</v>
      </c>
      <c r="D29" s="1" t="s">
        <v>89</v>
      </c>
      <c r="E29" s="1" t="s">
        <v>78</v>
      </c>
      <c r="F29" s="1" t="s">
        <v>0</v>
      </c>
      <c r="G29" s="2">
        <v>437.875</v>
      </c>
      <c r="H29" s="2">
        <v>15.743550266696518</v>
      </c>
      <c r="I29" s="1" t="s">
        <v>146</v>
      </c>
      <c r="J29" s="1" t="s">
        <v>1</v>
      </c>
      <c r="K29" s="1">
        <v>7</v>
      </c>
      <c r="L29" s="1" t="s">
        <v>13</v>
      </c>
      <c r="M29" s="1" t="s">
        <v>3</v>
      </c>
      <c r="N29" s="1">
        <v>256</v>
      </c>
      <c r="O29" s="1" t="s">
        <v>134</v>
      </c>
      <c r="P29" s="1" t="s">
        <v>4</v>
      </c>
      <c r="Q29" s="1">
        <f>2.5*3.5*3.5</f>
        <v>30.625</v>
      </c>
    </row>
    <row r="30" spans="1:18" x14ac:dyDescent="0.35">
      <c r="A30" s="1" t="s">
        <v>59</v>
      </c>
      <c r="B30" s="1" t="s">
        <v>167</v>
      </c>
      <c r="C30" s="1" t="s">
        <v>113</v>
      </c>
      <c r="D30" s="1" t="s">
        <v>114</v>
      </c>
      <c r="E30" s="1" t="s">
        <v>79</v>
      </c>
      <c r="F30" s="1" t="s">
        <v>145</v>
      </c>
      <c r="G30" s="2">
        <v>89.875</v>
      </c>
      <c r="H30" s="2">
        <v>2.7128168017763383</v>
      </c>
      <c r="I30" s="1" t="s">
        <v>132</v>
      </c>
      <c r="J30" s="1" t="s">
        <v>1</v>
      </c>
      <c r="K30" s="1">
        <v>7</v>
      </c>
      <c r="L30" s="1" t="s">
        <v>148</v>
      </c>
      <c r="M30" s="1" t="s">
        <v>3</v>
      </c>
      <c r="N30" s="1">
        <v>256</v>
      </c>
      <c r="O30" s="1" t="s">
        <v>131</v>
      </c>
      <c r="P30" s="1" t="s">
        <v>184</v>
      </c>
      <c r="Q30" s="1">
        <f>2.3*1.2*2</f>
        <v>5.52</v>
      </c>
      <c r="R30" s="1" t="s">
        <v>205</v>
      </c>
    </row>
    <row r="31" spans="1:18" x14ac:dyDescent="0.35">
      <c r="A31" s="1" t="s">
        <v>60</v>
      </c>
      <c r="B31" s="1" t="s">
        <v>168</v>
      </c>
      <c r="C31" s="1" t="s">
        <v>115</v>
      </c>
      <c r="D31" s="1" t="s">
        <v>116</v>
      </c>
      <c r="E31" s="1" t="s">
        <v>79</v>
      </c>
      <c r="F31" s="1" t="s">
        <v>12</v>
      </c>
      <c r="G31" s="2">
        <v>73.75</v>
      </c>
      <c r="H31" s="2">
        <v>0.82915619758884995</v>
      </c>
      <c r="I31" s="1" t="s">
        <v>130</v>
      </c>
      <c r="J31" s="1" t="s">
        <v>7</v>
      </c>
      <c r="K31" s="1">
        <v>9.4</v>
      </c>
      <c r="L31" s="1" t="s">
        <v>149</v>
      </c>
      <c r="M31" s="1" t="s">
        <v>36</v>
      </c>
      <c r="N31" s="1">
        <v>320</v>
      </c>
      <c r="O31" s="1" t="s">
        <v>134</v>
      </c>
      <c r="P31" s="1" t="s">
        <v>61</v>
      </c>
      <c r="Q31" s="1">
        <f>2*1.2*1.6</f>
        <v>3.84</v>
      </c>
      <c r="R31" s="1" t="s">
        <v>179</v>
      </c>
    </row>
    <row r="32" spans="1:18" x14ac:dyDescent="0.35">
      <c r="A32" s="1" t="s">
        <v>62</v>
      </c>
      <c r="B32" s="1" t="s">
        <v>168</v>
      </c>
      <c r="C32" s="1" t="s">
        <v>115</v>
      </c>
      <c r="D32" s="1" t="s">
        <v>116</v>
      </c>
      <c r="E32" s="1" t="s">
        <v>78</v>
      </c>
      <c r="F32" s="1" t="s">
        <v>29</v>
      </c>
      <c r="G32" s="2">
        <v>56</v>
      </c>
      <c r="H32" s="2">
        <v>0</v>
      </c>
      <c r="I32" s="1" t="s">
        <v>132</v>
      </c>
      <c r="J32" s="1" t="s">
        <v>7</v>
      </c>
      <c r="K32" s="1">
        <v>9.4</v>
      </c>
      <c r="L32" s="1" t="s">
        <v>150</v>
      </c>
      <c r="M32" s="1" t="s">
        <v>36</v>
      </c>
      <c r="N32" s="1">
        <v>320</v>
      </c>
      <c r="O32" s="1" t="s">
        <v>134</v>
      </c>
      <c r="P32" s="1" t="s">
        <v>183</v>
      </c>
      <c r="Q32" s="1">
        <f>2.5*1.5*3</f>
        <v>11.25</v>
      </c>
      <c r="R32" s="1" t="s">
        <v>210</v>
      </c>
    </row>
    <row r="33" spans="1:18" x14ac:dyDescent="0.35">
      <c r="A33" s="1" t="s">
        <v>63</v>
      </c>
      <c r="B33" s="1" t="s">
        <v>168</v>
      </c>
      <c r="C33" s="1" t="s">
        <v>117</v>
      </c>
      <c r="D33" s="1" t="s">
        <v>116</v>
      </c>
      <c r="E33" s="1" t="s">
        <v>79</v>
      </c>
      <c r="F33" s="1" t="s">
        <v>12</v>
      </c>
      <c r="G33" s="2">
        <v>90</v>
      </c>
      <c r="H33" s="2">
        <v>0</v>
      </c>
      <c r="I33" s="1" t="s">
        <v>146</v>
      </c>
      <c r="J33" s="1" t="s">
        <v>7</v>
      </c>
      <c r="K33" s="1">
        <v>9.4</v>
      </c>
      <c r="L33" s="1" t="s">
        <v>150</v>
      </c>
      <c r="M33" s="1" t="s">
        <v>36</v>
      </c>
      <c r="N33" s="1">
        <v>240</v>
      </c>
      <c r="O33" s="1" t="s">
        <v>144</v>
      </c>
      <c r="P33" s="1" t="s">
        <v>64</v>
      </c>
      <c r="Q33" s="1">
        <f>1.6*1.8*1.8</f>
        <v>5.1840000000000011</v>
      </c>
      <c r="R33" s="1" t="s">
        <v>206</v>
      </c>
    </row>
    <row r="34" spans="1:18" x14ac:dyDescent="0.35">
      <c r="A34" s="1" t="s">
        <v>65</v>
      </c>
      <c r="B34" s="1" t="s">
        <v>168</v>
      </c>
      <c r="C34" s="1" t="s">
        <v>115</v>
      </c>
      <c r="D34" s="1" t="s">
        <v>116</v>
      </c>
      <c r="E34" s="1" t="s">
        <v>78</v>
      </c>
      <c r="F34" s="1" t="s">
        <v>29</v>
      </c>
      <c r="G34" s="2">
        <v>37</v>
      </c>
      <c r="H34" s="2">
        <v>0</v>
      </c>
      <c r="I34" s="6" t="s">
        <v>76</v>
      </c>
      <c r="J34" s="1" t="s">
        <v>7</v>
      </c>
      <c r="K34" s="1">
        <v>9.4</v>
      </c>
      <c r="L34" s="1" t="s">
        <v>150</v>
      </c>
      <c r="M34" s="1" t="s">
        <v>36</v>
      </c>
      <c r="N34" s="1">
        <v>320</v>
      </c>
      <c r="O34" s="1" t="s">
        <v>144</v>
      </c>
      <c r="P34" s="1" t="s">
        <v>66</v>
      </c>
      <c r="Q34" s="1">
        <f>2.4*2*2.5</f>
        <v>12</v>
      </c>
      <c r="R34" s="1" t="s">
        <v>207</v>
      </c>
    </row>
    <row r="35" spans="1:18" x14ac:dyDescent="0.35">
      <c r="A35" s="1" t="s">
        <v>67</v>
      </c>
      <c r="B35" s="1" t="s">
        <v>168</v>
      </c>
      <c r="C35" s="1" t="s">
        <v>115</v>
      </c>
      <c r="D35" s="1" t="s">
        <v>116</v>
      </c>
      <c r="E35" s="1" t="s">
        <v>78</v>
      </c>
      <c r="F35" s="1" t="s">
        <v>68</v>
      </c>
      <c r="G35" s="2">
        <v>29.375</v>
      </c>
      <c r="H35" s="2">
        <v>0.48412291827592713</v>
      </c>
      <c r="I35" s="1" t="s">
        <v>136</v>
      </c>
      <c r="J35" s="1" t="s">
        <v>7</v>
      </c>
      <c r="K35" s="1">
        <v>9.4</v>
      </c>
      <c r="L35" s="1" t="s">
        <v>149</v>
      </c>
      <c r="M35" s="1" t="s">
        <v>69</v>
      </c>
      <c r="N35" s="1">
        <v>160</v>
      </c>
      <c r="O35" s="1" t="s">
        <v>134</v>
      </c>
      <c r="P35" s="1" t="s">
        <v>70</v>
      </c>
      <c r="Q35" s="1">
        <f>2.4*1.2*1.8</f>
        <v>5.1840000000000002</v>
      </c>
      <c r="R35" s="1" t="s">
        <v>179</v>
      </c>
    </row>
    <row r="36" spans="1:18" s="7" customFormat="1" x14ac:dyDescent="0.35">
      <c r="A36" s="7" t="s">
        <v>71</v>
      </c>
      <c r="B36" s="7" t="s">
        <v>169</v>
      </c>
      <c r="C36" s="7" t="s">
        <v>118</v>
      </c>
      <c r="D36" s="7" t="s">
        <v>119</v>
      </c>
      <c r="E36" s="7" t="s">
        <v>78</v>
      </c>
      <c r="F36" s="7" t="s">
        <v>29</v>
      </c>
      <c r="G36" s="8" t="s">
        <v>77</v>
      </c>
      <c r="H36" s="8" t="s">
        <v>77</v>
      </c>
      <c r="I36" s="7" t="s">
        <v>76</v>
      </c>
      <c r="J36" s="7" t="s">
        <v>1</v>
      </c>
      <c r="K36" s="7" t="s">
        <v>76</v>
      </c>
      <c r="L36" s="7" t="s">
        <v>76</v>
      </c>
      <c r="M36" s="7" t="s">
        <v>76</v>
      </c>
      <c r="N36" s="7" t="s">
        <v>76</v>
      </c>
      <c r="O36" s="7" t="s">
        <v>76</v>
      </c>
      <c r="P36" s="7" t="s">
        <v>76</v>
      </c>
      <c r="Q36" s="7" t="s">
        <v>76</v>
      </c>
      <c r="R36" s="7" t="s">
        <v>208</v>
      </c>
    </row>
    <row r="37" spans="1:18" s="4" customFormat="1" x14ac:dyDescent="0.35">
      <c r="A37" s="4" t="s">
        <v>81</v>
      </c>
      <c r="B37" s="4" t="s">
        <v>161</v>
      </c>
      <c r="C37" s="4" t="s">
        <v>87</v>
      </c>
      <c r="D37" s="4" t="s">
        <v>85</v>
      </c>
      <c r="E37" s="4" t="s">
        <v>78</v>
      </c>
      <c r="F37" s="4" t="s">
        <v>6</v>
      </c>
      <c r="G37" s="5">
        <v>62.125</v>
      </c>
      <c r="H37" s="5">
        <v>3.0593095626301041</v>
      </c>
      <c r="I37" s="1" t="s">
        <v>130</v>
      </c>
      <c r="J37" s="4" t="s">
        <v>1</v>
      </c>
      <c r="K37" s="4">
        <v>9.4</v>
      </c>
      <c r="L37" s="1" t="s">
        <v>139</v>
      </c>
      <c r="M37" s="4" t="s">
        <v>36</v>
      </c>
      <c r="N37" s="4">
        <v>256</v>
      </c>
      <c r="O37" s="1" t="s">
        <v>131</v>
      </c>
      <c r="P37" s="4" t="s">
        <v>211</v>
      </c>
      <c r="Q37" s="4">
        <f>2.8*2*2.8</f>
        <v>15.679999999999998</v>
      </c>
      <c r="R37" s="4" t="s">
        <v>77</v>
      </c>
    </row>
    <row r="38" spans="1:18" s="7" customFormat="1" x14ac:dyDescent="0.35">
      <c r="A38" s="7" t="s">
        <v>72</v>
      </c>
      <c r="B38" s="7" t="s">
        <v>161</v>
      </c>
      <c r="C38" s="7" t="s">
        <v>87</v>
      </c>
      <c r="D38" s="7" t="s">
        <v>85</v>
      </c>
      <c r="E38" s="7" t="s">
        <v>78</v>
      </c>
      <c r="F38" s="7" t="s">
        <v>6</v>
      </c>
      <c r="G38" s="8" t="s">
        <v>77</v>
      </c>
      <c r="H38" s="8" t="s">
        <v>77</v>
      </c>
      <c r="I38" s="7" t="s">
        <v>76</v>
      </c>
      <c r="J38" s="7" t="s">
        <v>1</v>
      </c>
      <c r="K38" s="7">
        <v>14.1</v>
      </c>
      <c r="L38" s="7" t="s">
        <v>140</v>
      </c>
      <c r="M38" s="7" t="s">
        <v>36</v>
      </c>
      <c r="N38" s="7" t="s">
        <v>76</v>
      </c>
      <c r="O38" s="7" t="s">
        <v>76</v>
      </c>
      <c r="P38" s="7" t="s">
        <v>76</v>
      </c>
      <c r="Q38" s="7" t="s">
        <v>76</v>
      </c>
    </row>
    <row r="39" spans="1:18" x14ac:dyDescent="0.35">
      <c r="A39" s="1" t="s">
        <v>73</v>
      </c>
      <c r="B39" s="4" t="s">
        <v>170</v>
      </c>
      <c r="C39" s="1" t="s">
        <v>120</v>
      </c>
      <c r="D39" s="1" t="s">
        <v>121</v>
      </c>
      <c r="E39" s="1" t="s">
        <v>79</v>
      </c>
      <c r="F39" s="1" t="s">
        <v>74</v>
      </c>
      <c r="G39" s="2">
        <v>205.25</v>
      </c>
      <c r="H39" s="2">
        <v>2.0463381929681126</v>
      </c>
      <c r="I39" s="1" t="s">
        <v>151</v>
      </c>
      <c r="J39" s="1" t="s">
        <v>1</v>
      </c>
      <c r="K39" s="1">
        <v>7</v>
      </c>
      <c r="L39" s="1" t="s">
        <v>2</v>
      </c>
      <c r="M39" s="1" t="s">
        <v>3</v>
      </c>
      <c r="N39" s="1">
        <v>512</v>
      </c>
      <c r="O39" s="1" t="s">
        <v>138</v>
      </c>
      <c r="P39" s="1" t="s">
        <v>75</v>
      </c>
      <c r="Q39" s="1">
        <f>2.5*2.5*3</f>
        <v>18.75</v>
      </c>
      <c r="R39" s="4" t="s">
        <v>209</v>
      </c>
    </row>
    <row r="47" spans="1:18" x14ac:dyDescent="0.35">
      <c r="I47" s="1" t="s">
        <v>152</v>
      </c>
    </row>
    <row r="48" spans="1:18" x14ac:dyDescent="0.35">
      <c r="I48" s="1" t="s">
        <v>152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Medizinische 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Rotaru</dc:creator>
  <cp:lastModifiedBy>Diana Rotaru</cp:lastModifiedBy>
  <dcterms:created xsi:type="dcterms:W3CDTF">2025-10-03T10:53:02Z</dcterms:created>
  <dcterms:modified xsi:type="dcterms:W3CDTF">2026-03-23T13:06:30Z</dcterms:modified>
</cp:coreProperties>
</file>